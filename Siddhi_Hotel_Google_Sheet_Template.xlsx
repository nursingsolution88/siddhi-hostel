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8301ca88da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e6b29cd418044b0"/>
    <x:sheet xmlns:r="http://schemas.openxmlformats.org/officeDocument/2006/relationships" name="Rooms" sheetId="2" r:id="R488045dfd78a415d"/>
    <x:sheet xmlns:r="http://schemas.openxmlformats.org/officeDocument/2006/relationships" name="Bookings" sheetId="3" r:id="Rb67b4b2c6db849be"/>
    <x:sheet xmlns:r="http://schemas.openxmlformats.org/officeDocument/2006/relationships" name="Guests" sheetId="4" r:id="Rfeacbb2935484f80"/>
    <x:sheet xmlns:r="http://schemas.openxmlformats.org/officeDocument/2006/relationships" name="Payments" sheetId="5" r:id="R3f1958e3178a4c95"/>
    <x:sheet xmlns:r="http://schemas.openxmlformats.org/officeDocument/2006/relationships" name="Expenses" sheetId="6" r:id="Rf494c09df3694bf5"/>
    <x:sheet xmlns:r="http://schemas.openxmlformats.org/officeDocument/2006/relationships" name="Staff" sheetId="7" r:id="Rb11667ce9f224d70"/>
    <x:sheet xmlns:r="http://schemas.openxmlformats.org/officeDocument/2006/relationships" name="Attendance" sheetId="8" r:id="Rae2fa0e1a8cb4f00"/>
    <x:sheet xmlns:r="http://schemas.openxmlformats.org/officeDocument/2006/relationships" name="Housekeeping" sheetId="9" r:id="R1dd97a98f3b443f5"/>
    <x:sheet xmlns:r="http://schemas.openxmlformats.org/officeDocument/2006/relationships" name="Maintenance" sheetId="10" r:id="R4591889770af4df2"/>
    <x:sheet xmlns:r="http://schemas.openxmlformats.org/officeDocument/2006/relationships" name="Food_Menu" sheetId="11" r:id="Rae0998a980644ac1"/>
    <x:sheet xmlns:r="http://schemas.openxmlformats.org/officeDocument/2006/relationships" name="Food_Orders" sheetId="12" r:id="R65eca2a825424b08"/>
    <x:sheet xmlns:r="http://schemas.openxmlformats.org/officeDocument/2006/relationships" name="Users" sheetId="13" r:id="R2ead5676089148b4"/>
    <x:sheet xmlns:r="http://schemas.openxmlformats.org/officeDocument/2006/relationships" name="Settings" sheetId="14" r:id="R3139fe9c1236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B173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739"/>
      </x:patternFill>
    </x:fill>
    <x:fill>
      <x:patternFill patternType="solid">
        <x:fgColor rgb="FFF1F4FA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087454"/>
      </x:font>
      <x:fill>
        <x:patternFill patternType="solid">
          <x:bgColor rgb="FFDFF6ED"/>
        </x:patternFill>
      </x:fill>
    </x:dxf>
    <x:dxf>
      <x:font>
        <x:color rgb="FFAA2C2C"/>
      </x:font>
      <x:fill>
        <x:patternFill patternType="solid">
          <x:bgColor rgb="FFFDE7E7"/>
        </x:patternFill>
      </x:fill>
    </x:dxf>
    <x:dxf>
      <x:font>
        <x:color rgb="FF8B6412"/>
      </x:font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22c01d0f34615" /><Relationship Type="http://schemas.openxmlformats.org/officeDocument/2006/relationships/theme" Target="/xl/theme/theme1.xml" Id="R4a362d34c489465b" /><Relationship Type="http://schemas.openxmlformats.org/officeDocument/2006/relationships/sharedStrings" Target="/xl/sharedStrings.xml" Id="Rc80ac26318634438" /><Relationship Type="http://schemas.openxmlformats.org/officeDocument/2006/relationships/worksheet" Target="/xl/worksheets/sheet1.xml" Id="Rae6b29cd418044b0" /><Relationship Type="http://schemas.openxmlformats.org/officeDocument/2006/relationships/worksheet" Target="/xl/worksheets/sheet2.xml" Id="R488045dfd78a415d" /><Relationship Type="http://schemas.openxmlformats.org/officeDocument/2006/relationships/worksheet" Target="/xl/worksheets/sheet3.xml" Id="Rb67b4b2c6db849be" /><Relationship Type="http://schemas.openxmlformats.org/officeDocument/2006/relationships/worksheet" Target="/xl/worksheets/sheet4.xml" Id="Rfeacbb2935484f80" /><Relationship Type="http://schemas.openxmlformats.org/officeDocument/2006/relationships/worksheet" Target="/xl/worksheets/sheet5.xml" Id="R3f1958e3178a4c95" /><Relationship Type="http://schemas.openxmlformats.org/officeDocument/2006/relationships/worksheet" Target="/xl/worksheets/sheet6.xml" Id="Rf494c09df3694bf5" /><Relationship Type="http://schemas.openxmlformats.org/officeDocument/2006/relationships/worksheet" Target="/xl/worksheets/sheet7.xml" Id="Rb11667ce9f224d70" /><Relationship Type="http://schemas.openxmlformats.org/officeDocument/2006/relationships/worksheet" Target="/xl/worksheets/sheet8.xml" Id="Rae2fa0e1a8cb4f00" /><Relationship Type="http://schemas.openxmlformats.org/officeDocument/2006/relationships/worksheet" Target="/xl/worksheets/sheet9.xml" Id="R1dd97a98f3b443f5" /><Relationship Type="http://schemas.openxmlformats.org/officeDocument/2006/relationships/worksheet" Target="/xl/worksheets/sheet10.xml" Id="R4591889770af4df2" /><Relationship Type="http://schemas.openxmlformats.org/officeDocument/2006/relationships/worksheet" Target="/xl/worksheets/sheet11.xml" Id="Rae0998a980644ac1" /><Relationship Type="http://schemas.openxmlformats.org/officeDocument/2006/relationships/worksheet" Target="/xl/worksheets/sheet12.xml" Id="R65eca2a825424b08" /><Relationship Type="http://schemas.openxmlformats.org/officeDocument/2006/relationships/worksheet" Target="/xl/worksheets/sheet13.xml" Id="R2ead5676089148b4" /><Relationship Type="http://schemas.openxmlformats.org/officeDocument/2006/relationships/worksheet" Target="/xl/worksheets/sheet14.xml" Id="R3139fe9c123646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Metric</x:v>
      </x:c>
      <x:c r="B1" s="6" t="str">
        <x:v>Value</x:v>
      </x:c>
    </x:row>
    <x:row r="2">
      <x:c r="A2" s="20" t="str">
        <x:v>Total Rooms</x:v>
      </x:c>
      <x:c r="B2" s="21" t="n">
        <x:f>COUNTA(Rooms!B2:B1000)</x:f>
        <x:v>4</x:v>
      </x:c>
    </x:row>
    <x:row r="3">
      <x:c r="A3" s="20" t="str">
        <x:v>Available Rooms</x:v>
      </x:c>
      <x:c r="B3" s="21" t="n">
        <x:f>COUNTIF(Rooms!J2:J1000,"Available")</x:f>
        <x:v>1</x:v>
      </x:c>
    </x:row>
    <x:row r="4">
      <x:c r="A4" s="20" t="str">
        <x:v>Occupied Rooms</x:v>
      </x:c>
      <x:c r="B4" s="21" t="n">
        <x:f>COUNTIF(Rooms!J2:J1000,"Occupied")</x:f>
        <x:v>1</x:v>
      </x:c>
    </x:row>
    <x:row r="5">
      <x:c r="A5" s="20" t="str">
        <x:v>Reserved Rooms</x:v>
      </x:c>
      <x:c r="B5" s="21" t="n">
        <x:f>COUNTIF(Rooms!J2:J1000,"Reserved")</x:f>
        <x:v>1</x:v>
      </x:c>
    </x:row>
    <x:row r="6">
      <x:c r="A6" s="20" t="str">
        <x:v>Total Bookings</x:v>
      </x:c>
      <x:c r="B6" s="21" t="n">
        <x:f>COUNTA(Bookings!A2:A1000)</x:f>
        <x:v>2</x:v>
      </x:c>
    </x:row>
    <x:row r="7">
      <x:c r="A7" s="20" t="str">
        <x:v>Total Payments</x:v>
      </x:c>
      <x:c r="B7" s="22" t="n">
        <x:f>SUM(Payments!F2:F1000)</x:f>
        <x:v>1000</x:v>
      </x:c>
    </x:row>
    <x:row r="8">
      <x:c r="A8" s="20" t="str">
        <x:v>Total Expenses</x:v>
      </x:c>
      <x:c r="B8" s="22" t="n">
        <x:f>SUM(Expenses!F2:F1000)</x:f>
        <x:v>850</x:v>
      </x:c>
    </x:row>
    <x:row r="9">
      <x:c r="A9" s="20" t="str">
        <x:v>Pending Amount</x:v>
      </x:c>
      <x:c r="B9" s="22" t="n">
        <x:f>SUM(Bookings!Z2:Z1000)</x:f>
        <x:v>4400</x:v>
      </x:c>
    </x:row>
    <x:row r="10">
      <x:c r="A10" s="23"/>
      <x:c r="B10" s="23"/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" t="str">
        <x:v>Room ID</x:v>
      </x:c>
      <x:c r="B1" s="6" t="str">
        <x:v>Room Number</x:v>
      </x:c>
      <x:c r="C1" s="6" t="str">
        <x:v>Floor</x:v>
      </x:c>
      <x:c r="D1" s="6" t="str">
        <x:v>Room Type</x:v>
      </x:c>
      <x:c r="E1" s="6" t="str">
        <x:v>Bed Type</x:v>
      </x:c>
      <x:c r="F1" s="6" t="str">
        <x:v>Capacity</x:v>
      </x:c>
      <x:c r="G1" s="6" t="str">
        <x:v>Price</x:v>
      </x:c>
      <x:c r="H1" s="6" t="str">
        <x:v>GST</x:v>
      </x:c>
      <x:c r="I1" s="6" t="str">
        <x:v>Facilities</x:v>
      </x:c>
      <x:c r="J1" s="6" t="str">
        <x:v>Room Status</x:v>
      </x:c>
      <x:c r="K1" s="6" t="str">
        <x:v>Cleaning Status</x:v>
      </x:c>
      <x:c r="L1" s="6" t="str">
        <x:v>Image URL</x:v>
      </x:c>
      <x:c r="M1" s="6" t="str">
        <x:v>Notes</x:v>
      </x:c>
    </x:row>
    <x:row r="2">
      <x:c r="A2" s="23" t="str">
        <x:v>R101</x:v>
      </x:c>
      <x:c r="B2" s="23" t="str">
        <x:v>101</x:v>
      </x:c>
      <x:c r="C2" s="23" t="n">
        <x:v>1</x:v>
      </x:c>
      <x:c r="D2" s="23" t="str">
        <x:v>Deluxe</x:v>
      </x:c>
      <x:c r="E2" s="23" t="str">
        <x:v>King</x:v>
      </x:c>
      <x:c r="F2" s="23" t="n">
        <x:v>2</x:v>
      </x:c>
      <x:c r="G2" s="23" t="n">
        <x:v>1800</x:v>
      </x:c>
      <x:c r="H2" s="23" t="n">
        <x:v>12</x:v>
      </x:c>
      <x:c r="I2" s="23" t="str">
        <x:v>Wi-Fi, AC, TV</x:v>
      </x:c>
      <x:c r="J2" s="23" t="str">
        <x:v>Available</x:v>
      </x:c>
      <x:c r="K2" s="23" t="str">
        <x:v>Completed</x:v>
      </x:c>
      <x:c r="L2" s="23" t="str"/>
      <x:c r="M2" s="23" t="str"/>
    </x:row>
    <x:row r="3">
      <x:c r="A3" s="23" t="str">
        <x:v>R102</x:v>
      </x:c>
      <x:c r="B3" s="23" t="str">
        <x:v>102</x:v>
      </x:c>
      <x:c r="C3" s="23" t="n">
        <x:v>1</x:v>
      </x:c>
      <x:c r="D3" s="23" t="str">
        <x:v>Standard</x:v>
      </x:c>
      <x:c r="E3" s="23" t="str">
        <x:v>Double</x:v>
      </x:c>
      <x:c r="F3" s="23" t="n">
        <x:v>2</x:v>
      </x:c>
      <x:c r="G3" s="23" t="n">
        <x:v>1300</x:v>
      </x:c>
      <x:c r="H3" s="23" t="n">
        <x:v>12</x:v>
      </x:c>
      <x:c r="I3" s="23" t="str">
        <x:v>Wi-Fi, TV</x:v>
      </x:c>
      <x:c r="J3" s="23" t="str">
        <x:v>Occupied</x:v>
      </x:c>
      <x:c r="K3" s="23" t="str">
        <x:v>Completed</x:v>
      </x:c>
      <x:c r="L3" s="23" t="str"/>
      <x:c r="M3" s="23" t="str"/>
    </x:row>
    <x:row r="4">
      <x:c r="A4" s="23" t="str">
        <x:v>R103</x:v>
      </x:c>
      <x:c r="B4" s="23" t="str">
        <x:v>103</x:v>
      </x:c>
      <x:c r="C4" s="23" t="n">
        <x:v>1</x:v>
      </x:c>
      <x:c r="D4" s="23" t="str">
        <x:v>Family</x:v>
      </x:c>
      <x:c r="E4" s="23" t="str">
        <x:v>King</x:v>
      </x:c>
      <x:c r="F4" s="23" t="n">
        <x:v>4</x:v>
      </x:c>
      <x:c r="G4" s="23" t="n">
        <x:v>2400</x:v>
      </x:c>
      <x:c r="H4" s="23" t="n">
        <x:v>12</x:v>
      </x:c>
      <x:c r="I4" s="23" t="str">
        <x:v>Wi-Fi, AC, TV</x:v>
      </x:c>
      <x:c r="J4" s="23" t="str">
        <x:v>Reserved</x:v>
      </x:c>
      <x:c r="K4" s="23" t="str">
        <x:v>Completed</x:v>
      </x:c>
      <x:c r="L4" s="23" t="str"/>
      <x:c r="M4" s="23" t="str"/>
    </x:row>
    <x:row r="5">
      <x:c r="A5" s="23" t="str">
        <x:v>R201</x:v>
      </x:c>
      <x:c r="B5" s="23" t="str">
        <x:v>201</x:v>
      </x:c>
      <x:c r="C5" s="23" t="n">
        <x:v>2</x:v>
      </x:c>
      <x:c r="D5" s="23" t="str">
        <x:v>Super Deluxe</x:v>
      </x:c>
      <x:c r="E5" s="23" t="str">
        <x:v>King</x:v>
      </x:c>
      <x:c r="F5" s="23" t="n">
        <x:v>2</x:v>
      </x:c>
      <x:c r="G5" s="23" t="n">
        <x:v>2200</x:v>
      </x:c>
      <x:c r="H5" s="23" t="n">
        <x:v>12</x:v>
      </x:c>
      <x:c r="I5" s="23" t="str">
        <x:v>Wi-Fi, AC, TV</x:v>
      </x:c>
      <x:c r="J5" s="23" t="str">
        <x:v>Cleaning</x:v>
      </x:c>
      <x:c r="K5" s="23" t="str">
        <x:v>Pending</x:v>
      </x:c>
      <x:c r="L5" s="23" t="str"/>
      <x:c r="M5" s="23" t="str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</x:row>
  </x:sheetData>
  <x:conditionalFormatting sqref="J2:J500">
    <x:cfRule type="expression" dxfId="0" priority="1">
      <x:formula>J2="Available"</x:formula>
    </x:cfRule>
    <x:cfRule type="expression" dxfId="1" priority="2">
      <x:formula>J2="Occupied"</x:formula>
    </x:cfRule>
    <x:cfRule type="expression" dxfId="2" priority="3">
      <x:formula>J2="Cleaning"</x:formula>
    </x:cfRule>
  </x:conditionalFormatting>
  <x:dataValidations count="3">
    <x:dataValidation type="list" sqref="D2:D500">
      <x:formula1>"Standard,Deluxe,Super Deluxe,Family,Suite"</x:formula1>
    </x:dataValidation>
    <x:dataValidation type="list" sqref="J2:J500">
      <x:formula1>"Available,Reserved,Occupied,Cleaning,Maintenance,Blocked"</x:formula1>
    </x:dataValidation>
    <x:dataValidation type="list" sqref="K2:K500">
      <x:formula1>"Pending,In Progress,Completed,Inspected"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</x:cols>
  <x:sheetData>
    <x:row r="1" ht="30" customHeight="1">
      <x:c r="A1" s="6" t="str">
        <x:v>Booking ID</x:v>
      </x:c>
      <x:c r="B1" s="6" t="str">
        <x:v>Booking Date</x:v>
      </x:c>
      <x:c r="C1" s="6" t="str">
        <x:v>Guest Name</x:v>
      </x:c>
      <x:c r="D1" s="6" t="str">
        <x:v>Mobile</x:v>
      </x:c>
      <x:c r="E1" s="6" t="str">
        <x:v>WhatsApp Number</x:v>
      </x:c>
      <x:c r="F1" s="6" t="str">
        <x:v>Email</x:v>
      </x:c>
      <x:c r="G1" s="6" t="str">
        <x:v>Address</x:v>
      </x:c>
      <x:c r="H1" s="6" t="str">
        <x:v>ID Proof Type</x:v>
      </x:c>
      <x:c r="I1" s="6" t="str">
        <x:v>ID Proof Number</x:v>
      </x:c>
      <x:c r="J1" s="6" t="str">
        <x:v>Adults</x:v>
      </x:c>
      <x:c r="K1" s="6" t="str">
        <x:v>Children</x:v>
      </x:c>
      <x:c r="L1" s="6" t="str">
        <x:v>Room Number</x:v>
      </x:c>
      <x:c r="M1" s="6" t="str">
        <x:v>Room Type</x:v>
      </x:c>
      <x:c r="N1" s="6" t="str">
        <x:v>Check-in Date</x:v>
      </x:c>
      <x:c r="O1" s="6" t="str">
        <x:v>Check-in Time</x:v>
      </x:c>
      <x:c r="P1" s="6" t="str">
        <x:v>Check-out Date</x:v>
      </x:c>
      <x:c r="Q1" s="6" t="str">
        <x:v>Check-out Time</x:v>
      </x:c>
      <x:c r="R1" s="6" t="str">
        <x:v>Nights</x:v>
      </x:c>
      <x:c r="S1" s="6" t="str">
        <x:v>Room Charges</x:v>
      </x:c>
      <x:c r="T1" s="6" t="str">
        <x:v>Food Charges</x:v>
      </x:c>
      <x:c r="U1" s="6" t="str">
        <x:v>Other Charges</x:v>
      </x:c>
      <x:c r="V1" s="6" t="str">
        <x:v>Discount</x:v>
      </x:c>
      <x:c r="W1" s="6" t="str">
        <x:v>GST</x:v>
      </x:c>
      <x:c r="X1" s="6" t="str">
        <x:v>Total Amount</x:v>
      </x:c>
      <x:c r="Y1" s="6" t="str">
        <x:v>Advance</x:v>
      </x:c>
      <x:c r="Z1" s="6" t="str">
        <x:v>Pending Amount</x:v>
      </x:c>
      <x:c r="AA1" s="6" t="str">
        <x:v>Booking Source</x:v>
      </x:c>
      <x:c r="AB1" s="6" t="str">
        <x:v>Booking Status</x:v>
      </x:c>
      <x:c r="AC1" s="6" t="str">
        <x:v>Special Request</x:v>
      </x:c>
      <x:c r="AD1" s="6" t="str">
        <x:v>Staff Name</x:v>
      </x:c>
    </x:row>
    <x:row r="2">
      <x:c r="A2" s="23" t="str">
        <x:v>SB1001</x:v>
      </x:c>
      <x:c r="B2" s="23" t="str">
        <x:v>2026-07-27</x:v>
      </x:c>
      <x:c r="C2" s="23" t="str">
        <x:v>Rahul Sharma</x:v>
      </x:c>
      <x:c r="D2" s="23" t="str">
        <x:v>9876543210</x:v>
      </x:c>
      <x:c r="E2" s="23" t="str">
        <x:v>9876543210</x:v>
      </x:c>
      <x:c r="F2" s="23" t="str"/>
      <x:c r="G2" s="23" t="str"/>
      <x:c r="H2" s="23" t="str">
        <x:v>Aadhaar</x:v>
      </x:c>
      <x:c r="I2" s="23" t="str"/>
      <x:c r="J2" s="23" t="n">
        <x:v>2</x:v>
      </x:c>
      <x:c r="K2" s="23" t="n">
        <x:v>0</x:v>
      </x:c>
      <x:c r="L2" s="23" t="str">
        <x:v>102</x:v>
      </x:c>
      <x:c r="M2" s="23" t="str">
        <x:v>Standard</x:v>
      </x:c>
      <x:c r="N2" s="23" t="str">
        <x:v>2026-07-27</x:v>
      </x:c>
      <x:c r="O2" s="23" t="str"/>
      <x:c r="P2" s="23" t="str">
        <x:v>2026-07-29</x:v>
      </x:c>
      <x:c r="Q2" s="23" t="str"/>
      <x:c r="R2" s="23" t="n">
        <x:v>2</x:v>
      </x:c>
      <x:c r="S2" s="23" t="n">
        <x:v>2600</x:v>
      </x:c>
      <x:c r="T2" s="23" t="n">
        <x:v>0</x:v>
      </x:c>
      <x:c r="U2" s="23" t="n">
        <x:v>0</x:v>
      </x:c>
      <x:c r="V2" s="23" t="n">
        <x:v>0</x:v>
      </x:c>
      <x:c r="W2" s="23" t="n">
        <x:v>12</x:v>
      </x:c>
      <x:c r="X2" s="23" t="n">
        <x:v>2600</x:v>
      </x:c>
      <x:c r="Y2" s="23" t="n">
        <x:v>1000</x:v>
      </x:c>
      <x:c r="Z2" s="23" t="n">
        <x:v>1600</x:v>
      </x:c>
      <x:c r="AA2" s="23" t="str">
        <x:v>Walk-in</x:v>
      </x:c>
      <x:c r="AB2" s="23" t="str">
        <x:v>Checked-in</x:v>
      </x:c>
      <x:c r="AC2" s="23" t="str"/>
      <x:c r="AD2" s="23" t="str">
        <x:v>Admin</x:v>
      </x:c>
    </x:row>
    <x:row r="3">
      <x:c r="A3" s="23" t="str">
        <x:v>SB1002</x:v>
      </x:c>
      <x:c r="B3" s="23" t="str">
        <x:v>2026-07-27</x:v>
      </x:c>
      <x:c r="C3" s="23" t="str">
        <x:v>Priya Meena</x:v>
      </x:c>
      <x:c r="D3" s="23" t="str">
        <x:v>9898989898</x:v>
      </x:c>
      <x:c r="E3" s="23" t="str">
        <x:v>9898989898</x:v>
      </x:c>
      <x:c r="F3" s="23" t="str"/>
      <x:c r="G3" s="23" t="str"/>
      <x:c r="H3" s="23" t="str">
        <x:v>Aadhaar</x:v>
      </x:c>
      <x:c r="I3" s="23" t="str"/>
      <x:c r="J3" s="23" t="n">
        <x:v>3</x:v>
      </x:c>
      <x:c r="K3" s="23" t="n">
        <x:v>1</x:v>
      </x:c>
      <x:c r="L3" s="23" t="str">
        <x:v>103</x:v>
      </x:c>
      <x:c r="M3" s="23" t="str">
        <x:v>Family</x:v>
      </x:c>
      <x:c r="N3" s="23" t="str">
        <x:v>2026-07-28</x:v>
      </x:c>
      <x:c r="O3" s="23" t="str"/>
      <x:c r="P3" s="23" t="str">
        <x:v>2026-07-30</x:v>
      </x:c>
      <x:c r="Q3" s="23" t="str"/>
      <x:c r="R3" s="23" t="n">
        <x:v>2</x:v>
      </x:c>
      <x:c r="S3" s="23" t="n">
        <x:v>4800</x:v>
      </x:c>
      <x:c r="T3" s="23" t="n">
        <x:v>0</x:v>
      </x:c>
      <x:c r="U3" s="23" t="n">
        <x:v>0</x:v>
      </x:c>
      <x:c r="V3" s="23" t="n">
        <x:v>0</x:v>
      </x:c>
      <x:c r="W3" s="23" t="n">
        <x:v>12</x:v>
      </x:c>
      <x:c r="X3" s="23" t="n">
        <x:v>4800</x:v>
      </x:c>
      <x:c r="Y3" s="23" t="n">
        <x:v>2000</x:v>
      </x:c>
      <x:c r="Z3" s="23" t="n">
        <x:v>2800</x:v>
      </x:c>
      <x:c r="AA3" s="23" t="str">
        <x:v>Phone</x:v>
      </x:c>
      <x:c r="AB3" s="23" t="str">
        <x:v>Confirmed</x:v>
      </x:c>
      <x:c r="AC3" s="23" t="str">
        <x:v>Extra blanket</x:v>
      </x:c>
      <x:c r="AD3" s="23" t="str">
        <x:v>Admin</x:v>
      </x:c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  <x:c r="AA4" s="23"/>
      <x:c r="AB4" s="23"/>
      <x:c r="AC4" s="23"/>
      <x:c r="AD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3"/>
      <x:c r="AD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  <x:c r="AA6" s="23"/>
      <x:c r="AB6" s="23"/>
      <x:c r="AC6" s="23"/>
      <x:c r="AD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  <x:c r="AA7" s="23"/>
      <x:c r="AB7" s="23"/>
      <x:c r="AC7" s="23"/>
      <x:c r="AD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  <x:c r="AA8" s="23"/>
      <x:c r="AB8" s="23"/>
      <x:c r="AC8" s="23"/>
      <x:c r="AD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  <x:c r="AA9" s="23"/>
      <x:c r="AB9" s="23"/>
      <x:c r="AC9" s="23"/>
      <x:c r="AD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  <x:c r="AA10" s="23"/>
      <x:c r="AB10" s="23"/>
      <x:c r="AC10" s="23"/>
      <x:c r="AD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  <x:c r="AA11" s="23"/>
      <x:c r="AB11" s="23"/>
      <x:c r="AC11" s="23"/>
      <x:c r="AD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  <x:c r="AA12" s="23"/>
      <x:c r="AB12" s="23"/>
      <x:c r="AC12" s="23"/>
      <x:c r="AD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  <x:c r="AA13" s="23"/>
      <x:c r="AB13" s="23"/>
      <x:c r="AC13" s="23"/>
      <x:c r="AD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  <x:c r="AA14" s="23"/>
      <x:c r="AB14" s="23"/>
      <x:c r="AC14" s="23"/>
      <x:c r="AD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  <x:c r="AA15" s="23"/>
      <x:c r="AB15" s="23"/>
      <x:c r="AC15" s="23"/>
      <x:c r="AD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  <x:c r="AA16" s="23"/>
      <x:c r="AB16" s="23"/>
      <x:c r="AC16" s="23"/>
      <x:c r="AD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  <x:c r="AA17" s="23"/>
      <x:c r="AB17" s="23"/>
      <x:c r="AC17" s="23"/>
      <x:c r="AD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  <x:c r="AA18" s="23"/>
      <x:c r="AB18" s="23"/>
      <x:c r="AC18" s="23"/>
      <x:c r="AD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  <x:c r="AA19" s="23"/>
      <x:c r="AB19" s="23"/>
      <x:c r="AC19" s="23"/>
      <x:c r="AD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  <x:c r="AA20" s="23"/>
      <x:c r="AB20" s="23"/>
      <x:c r="AC20" s="23"/>
      <x:c r="AD20" s="23"/>
    </x:row>
  </x:sheetData>
  <x:dataValidations count="1">
    <x:dataValidation type="list" sqref="AB2:AB1000">
      <x:formula1>"Pending,Confirmed,Checked-in,Checked-out,Cancelled,No-show"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6" t="str">
        <x:v>Guest ID</x:v>
      </x:c>
      <x:c r="B1" s="6" t="str">
        <x:v>Guest Name</x:v>
      </x:c>
      <x:c r="C1" s="6" t="str">
        <x:v>Mobile</x:v>
      </x:c>
      <x:c r="D1" s="6" t="str">
        <x:v>WhatsApp Number</x:v>
      </x:c>
      <x:c r="E1" s="6" t="str">
        <x:v>Email</x:v>
      </x:c>
      <x:c r="F1" s="6" t="str">
        <x:v>Address</x:v>
      </x:c>
      <x:c r="G1" s="6" t="str">
        <x:v>City</x:v>
      </x:c>
      <x:c r="H1" s="6" t="str">
        <x:v>State</x:v>
      </x:c>
      <x:c r="I1" s="6" t="str">
        <x:v>ID Proof Type</x:v>
      </x:c>
      <x:c r="J1" s="6" t="str">
        <x:v>ID Proof Number</x:v>
      </x:c>
      <x:c r="K1" s="6" t="str">
        <x:v>ID Proof URL</x:v>
      </x:c>
      <x:c r="L1" s="6" t="str">
        <x:v>Guest Photo URL</x:v>
      </x:c>
      <x:c r="M1" s="6" t="str">
        <x:v>Total Visits</x:v>
      </x:c>
      <x:c r="N1" s="6" t="str">
        <x:v>Last Visit</x:v>
      </x:c>
      <x:c r="O1" s="6" t="str">
        <x:v>Notes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6" t="str">
        <x:v>Payment ID</x:v>
      </x:c>
      <x:c r="B1" s="6" t="str">
        <x:v>Booking ID</x:v>
      </x:c>
      <x:c r="C1" s="6" t="str">
        <x:v>Guest Name</x:v>
      </x:c>
      <x:c r="D1" s="6" t="str">
        <x:v>Date</x:v>
      </x:c>
      <x:c r="E1" s="6" t="str">
        <x:v>Time</x:v>
      </x:c>
      <x:c r="F1" s="6" t="str">
        <x:v>Amount</x:v>
      </x:c>
      <x:c r="G1" s="6" t="str">
        <x:v>Payment Type</x:v>
      </x:c>
      <x:c r="H1" s="6" t="str">
        <x:v>Payment Method</x:v>
      </x:c>
      <x:c r="I1" s="6" t="str">
        <x:v>Transaction ID</x:v>
      </x:c>
      <x:c r="J1" s="6" t="str">
        <x:v>Received By</x:v>
      </x:c>
      <x:c r="K1" s="6" t="str">
        <x:v>Notes</x:v>
      </x:c>
    </x:row>
    <x:row r="2">
      <x:c r="A2" s="23" t="str">
        <x:v>PAY1001</x:v>
      </x:c>
      <x:c r="B2" s="23" t="str">
        <x:v>SB1001</x:v>
      </x:c>
      <x:c r="C2" s="23" t="str">
        <x:v>Rahul Sharma</x:v>
      </x:c>
      <x:c r="D2" s="23" t="str">
        <x:v>2026-07-27</x:v>
      </x:c>
      <x:c r="E2" s="23" t="str"/>
      <x:c r="F2" s="23" t="n">
        <x:v>1000</x:v>
      </x:c>
      <x:c r="G2" s="23" t="str">
        <x:v>Advance</x:v>
      </x:c>
      <x:c r="H2" s="23" t="str">
        <x:v>UPI</x:v>
      </x:c>
      <x:c r="I2" s="23" t="str"/>
      <x:c r="J2" s="23" t="str">
        <x:v>Admin</x:v>
      </x:c>
      <x:c r="K2" s="23" t="str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</x:row>
  </x:sheetData>
  <x:dataValidations count="1">
    <x:dataValidation type="list" sqref="H2:H1000">
      <x:formula1>"Cash,UPI,Google Pay,PhonePe,Paytm,Debit Card,Credit Card,Bank Transfer"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6" t="str">
        <x:v>Expense ID</x:v>
      </x:c>
      <x:c r="B1" s="6" t="str">
        <x:v>Date</x:v>
      </x:c>
      <x:c r="C1" s="6" t="str">
        <x:v>Category</x:v>
      </x:c>
      <x:c r="D1" s="6" t="str">
        <x:v>Description</x:v>
      </x:c>
      <x:c r="E1" s="6" t="str">
        <x:v>Vendor</x:v>
      </x:c>
      <x:c r="F1" s="6" t="str">
        <x:v>Amount</x:v>
      </x:c>
      <x:c r="G1" s="6" t="str">
        <x:v>Payment Method</x:v>
      </x:c>
      <x:c r="H1" s="6" t="str">
        <x:v>Bill Number</x:v>
      </x:c>
      <x:c r="I1" s="6" t="str">
        <x:v>Bill URL</x:v>
      </x:c>
      <x:c r="J1" s="6" t="str">
        <x:v>Approved By</x:v>
      </x:c>
      <x:c r="K1" s="6" t="str">
        <x:v>Added By</x:v>
      </x:c>
      <x:c r="L1" s="6" t="str">
        <x:v>Notes</x:v>
      </x:c>
    </x:row>
    <x:row r="2">
      <x:c r="A2" s="23" t="str">
        <x:v>EXP1001</x:v>
      </x:c>
      <x:c r="B2" s="23" t="str">
        <x:v>2026-07-27</x:v>
      </x:c>
      <x:c r="C2" s="23" t="str">
        <x:v>Cleaning Material</x:v>
      </x:c>
      <x:c r="D2" s="23" t="str">
        <x:v>Room cleaning supplies</x:v>
      </x:c>
      <x:c r="E2" s="23" t="str">
        <x:v>Local Store</x:v>
      </x:c>
      <x:c r="F2" s="23" t="n">
        <x:v>850</x:v>
      </x:c>
      <x:c r="G2" s="23" t="str">
        <x:v>Cash</x:v>
      </x:c>
      <x:c r="H2" s="23" t="str"/>
      <x:c r="I2" s="23" t="str"/>
      <x:c r="J2" s="23" t="str">
        <x:v>Admin</x:v>
      </x:c>
      <x:c r="K2" s="23" t="str">
        <x:v>Admin</x:v>
      </x:c>
      <x:c r="L2" s="23" t="str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0" customHeight="1">
      <x:c r="A1" s="6" t="str">
        <x:v>Staff ID</x:v>
      </x:c>
      <x:c r="B1" s="6" t="str">
        <x:v>Name</x:v>
      </x:c>
      <x:c r="C1" s="6" t="str">
        <x:v>Mobile</x:v>
      </x:c>
      <x:c r="D1" s="6" t="str">
        <x:v>Designation</x:v>
      </x:c>
      <x:c r="E1" s="6" t="str">
        <x:v>Department</x:v>
      </x:c>
      <x:c r="F1" s="6" t="str">
        <x:v>Joining Date</x:v>
      </x:c>
      <x:c r="G1" s="6" t="str">
        <x:v>Salary</x:v>
      </x:c>
      <x:c r="H1" s="6" t="str">
        <x:v>Shift</x:v>
      </x:c>
      <x:c r="I1" s="6" t="str">
        <x:v>Address</x:v>
      </x:c>
      <x:c r="J1" s="6" t="str">
        <x:v>ID Proof</x:v>
      </x:c>
      <x:c r="K1" s="6" t="str">
        <x:v>Emergency Contact</x:v>
      </x:c>
      <x:c r="L1" s="6" t="str">
        <x:v>Login Role</x:v>
      </x:c>
      <x:c r="M1" s="6" t="str">
        <x:v>Status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6" t="str">
        <x:v>Attendance ID</x:v>
      </x:c>
      <x:c r="B1" s="6" t="str">
        <x:v>Date</x:v>
      </x:c>
      <x:c r="C1" s="6" t="str">
        <x:v>Staff ID</x:v>
      </x:c>
      <x:c r="D1" s="6" t="str">
        <x:v>Staff Name</x:v>
      </x:c>
      <x:c r="E1" s="6" t="str">
        <x:v>Check-in Time</x:v>
      </x:c>
      <x:c r="F1" s="6" t="str">
        <x:v>Check-out Time</x:v>
      </x:c>
      <x:c r="G1" s="6" t="str">
        <x:v>Shift</x:v>
      </x:c>
      <x:c r="H1" s="6" t="str">
        <x:v>Status</x:v>
      </x:c>
      <x:c r="I1" s="6" t="str">
        <x:v>Overtime</x:v>
      </x:c>
      <x:c r="J1" s="6" t="str">
        <x:v>Remarks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6" t="str">
        <x:v>Cleaning ID</x:v>
      </x:c>
      <x:c r="B1" s="6" t="str">
        <x:v>Date</x:v>
      </x:c>
      <x:c r="C1" s="6" t="str">
        <x:v>Room Number</x:v>
      </x:c>
      <x:c r="D1" s="6" t="str">
        <x:v>Assigned Staff</x:v>
      </x:c>
      <x:c r="E1" s="6" t="str">
        <x:v>Cleaning Status</x:v>
      </x:c>
      <x:c r="F1" s="6" t="str">
        <x:v>Start Time</x:v>
      </x:c>
      <x:c r="G1" s="6" t="str">
        <x:v>Completion Time</x:v>
      </x:c>
      <x:c r="H1" s="6" t="str">
        <x:v>Linen Changed</x:v>
      </x:c>
      <x:c r="I1" s="6" t="str">
        <x:v>Toiletries Refilled</x:v>
      </x:c>
      <x:c r="J1" s="6" t="str">
        <x:v>Inspection</x:v>
      </x:c>
      <x:c r="K1" s="6" t="str">
        <x:v>Remarks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6" t="str">
        <x:v>Complaint ID</x:v>
      </x:c>
      <x:c r="B1" s="6" t="str">
        <x:v>Date</x:v>
      </x:c>
      <x:c r="C1" s="6" t="str">
        <x:v>Room Number</x:v>
      </x:c>
      <x:c r="D1" s="6" t="str">
        <x:v>Complaint Type</x:v>
      </x:c>
      <x:c r="E1" s="6" t="str">
        <x:v>Description</x:v>
      </x:c>
      <x:c r="F1" s="6" t="str">
        <x:v>Priority</x:v>
      </x:c>
      <x:c r="G1" s="6" t="str">
        <x:v>Assigned Staff</x:v>
      </x:c>
      <x:c r="H1" s="6" t="str">
        <x:v>Status</x:v>
      </x:c>
      <x:c r="I1" s="6" t="str">
        <x:v>Estimated Cost</x:v>
      </x:c>
      <x:c r="J1" s="6" t="str">
        <x:v>Actual Cost</x:v>
      </x:c>
      <x:c r="K1" s="6" t="str">
        <x:v>Completion Date</x:v>
      </x:c>
      <x:c r="L1" s="6" t="str">
        <x:v>Remarks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Item ID</x:v>
      </x:c>
      <x:c r="B1" s="6" t="str">
        <x:v>Item Name</x:v>
      </x:c>
      <x:c r="C1" s="6" t="str">
        <x:v>Category</x:v>
      </x:c>
      <x:c r="D1" s="6" t="str">
        <x:v>Price</x:v>
      </x:c>
      <x:c r="E1" s="6" t="str">
        <x:v>GST</x:v>
      </x:c>
      <x:c r="F1" s="6" t="str">
        <x:v>Availability</x:v>
      </x:c>
      <x:c r="G1" s="6" t="str">
        <x:v>Description</x:v>
      </x:c>
      <x:c r="H1" s="6" t="str">
        <x:v>Image URL</x:v>
      </x:c>
    </x:row>
    <x:row r="2">
      <x:c r="A2" s="23"/>
      <x:c r="B2" s="23"/>
      <x:c r="C2" s="23"/>
      <x:c r="D2" s="23"/>
      <x:c r="E2" s="23"/>
      <x:c r="F2" s="23"/>
      <x:c r="G2" s="23"/>
      <x:c r="H2" s="23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>
      <x:c r="A7" s="23"/>
      <x:c r="B7" s="23"/>
      <x:c r="C7" s="23"/>
      <x:c r="D7" s="23"/>
      <x:c r="E7" s="23"/>
      <x:c r="F7" s="23"/>
      <x:c r="G7" s="23"/>
      <x:c r="H7" s="23"/>
    </x:row>
    <x:row r="8">
      <x:c r="A8" s="23"/>
      <x:c r="B8" s="23"/>
      <x:c r="C8" s="23"/>
      <x:c r="D8" s="23"/>
      <x:c r="E8" s="23"/>
      <x:c r="F8" s="23"/>
      <x:c r="G8" s="23"/>
      <x:c r="H8" s="23"/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6" t="str">
        <x:v>Order ID</x:v>
      </x:c>
      <x:c r="B1" s="6" t="str">
        <x:v>Booking ID</x:v>
      </x:c>
      <x:c r="C1" s="6" t="str">
        <x:v>Room Number</x:v>
      </x:c>
      <x:c r="D1" s="6" t="str">
        <x:v>Guest Name</x:v>
      </x:c>
      <x:c r="E1" s="6" t="str">
        <x:v>Date</x:v>
      </x:c>
      <x:c r="F1" s="6" t="str">
        <x:v>Time</x:v>
      </x:c>
      <x:c r="G1" s="6" t="str">
        <x:v>Item Details</x:v>
      </x:c>
      <x:c r="H1" s="6" t="str">
        <x:v>Quantity</x:v>
      </x:c>
      <x:c r="I1" s="6" t="str">
        <x:v>Total Amount</x:v>
      </x:c>
      <x:c r="J1" s="6" t="str">
        <x:v>Order Status</x:v>
      </x:c>
      <x:c r="K1" s="6" t="str">
        <x:v>Payment Status</x:v>
      </x:c>
      <x:c r="L1" s="6" t="str">
        <x:v>Staff Name</x:v>
      </x:c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</x:row>
    <x:row r="3">
      <x:c r="A3" s="23"/>
      <x:c r="B3" s="23"/>
      <x:c r="C3" s="23"/>
      <x:c r="D3" s="23"/>
      <x:c r="E3" s="23"/>
      <x:c r="F3" s="23"/>
      <x:c r="G3" s="23"/>
      <x:c r="H3" s="23"/>
      <x:c r="I3" s="23"/>
      <x:c r="J3" s="23"/>
      <x:c r="K3" s="23"/>
      <x:c r="L3" s="23"/>
    </x:row>
    <x:row r="4">
      <x:c r="A4" s="23"/>
      <x:c r="B4" s="23"/>
      <x:c r="C4" s="23"/>
      <x:c r="D4" s="23"/>
      <x:c r="E4" s="23"/>
      <x:c r="F4" s="23"/>
      <x:c r="G4" s="23"/>
      <x:c r="H4" s="23"/>
      <x:c r="I4" s="23"/>
      <x:c r="J4" s="23"/>
      <x:c r="K4" s="23"/>
      <x:c r="L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6" t="str">
        <x:v>User ID</x:v>
      </x:c>
      <x:c r="B1" s="6" t="str">
        <x:v>Staff Name</x:v>
      </x:c>
      <x:c r="C1" s="6" t="str">
        <x:v>Username</x:v>
      </x:c>
      <x:c r="D1" s="6" t="str">
        <x:v>Password</x:v>
      </x:c>
      <x:c r="E1" s="6" t="str">
        <x:v>Role</x:v>
      </x:c>
      <x:c r="F1" s="6" t="str">
        <x:v>Mobile</x:v>
      </x:c>
      <x:c r="G1" s="6" t="str">
        <x:v>Status</x:v>
      </x:c>
      <x:c r="H1" s="6" t="str">
        <x:v>Last Login</x:v>
      </x:c>
    </x:row>
    <x:row r="2">
      <x:c r="A2" s="23" t="str">
        <x:v>USR001</x:v>
      </x:c>
      <x:c r="B2" s="23" t="str">
        <x:v>Administrator</x:v>
      </x:c>
      <x:c r="C2" s="23" t="str">
        <x:v>admin</x:v>
      </x:c>
      <x:c r="D2" s="23" t="str">
        <x:v>admin123</x:v>
      </x:c>
      <x:c r="E2" s="23" t="str">
        <x:v>Admin</x:v>
      </x:c>
      <x:c r="F2" s="23" t="str"/>
      <x:c r="G2" s="23" t="str">
        <x:v>Active</x:v>
      </x:c>
      <x:c r="H2" s="23" t="str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7">
      <x:c r="A7" s="23"/>
      <x:c r="B7" s="23"/>
      <x:c r="C7" s="23"/>
      <x:c r="D7" s="23"/>
      <x:c r="E7" s="23"/>
      <x:c r="F7" s="23"/>
      <x:c r="G7" s="23"/>
      <x:c r="H7" s="23"/>
    </x:row>
    <x:row r="8">
      <x:c r="A8" s="23"/>
      <x:c r="B8" s="23"/>
      <x:c r="C8" s="23"/>
      <x:c r="D8" s="23"/>
      <x:c r="E8" s="23"/>
      <x:c r="F8" s="23"/>
      <x:c r="G8" s="23"/>
      <x:c r="H8" s="23"/>
    </x:row>
    <x:row r="9">
      <x:c r="A9" s="23"/>
      <x:c r="B9" s="23"/>
      <x:c r="C9" s="23"/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3">
      <x:c r="A13" s="23"/>
      <x:c r="B13" s="23"/>
      <x:c r="C13" s="23"/>
      <x:c r="D13" s="23"/>
      <x:c r="E13" s="23"/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customHeight="1">
      <x:c r="A1" s="6" t="str">
        <x:v>Setting</x:v>
      </x:c>
      <x:c r="B1" s="6" t="str">
        <x:v>Value</x:v>
      </x:c>
    </x:row>
    <x:row r="2">
      <x:c r="A2" s="23" t="str">
        <x:v>Hotel Name</x:v>
      </x:c>
      <x:c r="B2" s="23" t="str">
        <x:v>Siddhi Hotel</x:v>
      </x:c>
    </x:row>
    <x:row r="3">
      <x:c r="A3" s="23" t="str">
        <x:v>Address</x:v>
      </x:c>
      <x:c r="B3" s="23" t="str"/>
    </x:row>
    <x:row r="4">
      <x:c r="A4" s="23" t="str">
        <x:v>Mobile</x:v>
      </x:c>
      <x:c r="B4" s="23" t="str"/>
    </x:row>
    <x:row r="5">
      <x:c r="A5" s="23" t="str">
        <x:v>WhatsApp</x:v>
      </x:c>
      <x:c r="B5" s="23" t="str"/>
    </x:row>
    <x:row r="6">
      <x:c r="A6" s="23" t="str">
        <x:v>Email</x:v>
      </x:c>
      <x:c r="B6" s="23" t="str"/>
    </x:row>
    <x:row r="7">
      <x:c r="A7" s="23" t="str">
        <x:v>GST Number</x:v>
      </x:c>
      <x:c r="B7" s="23" t="str"/>
    </x:row>
    <x:row r="8">
      <x:c r="A8" s="23" t="str">
        <x:v>Check-in Time</x:v>
      </x:c>
      <x:c r="B8" s="23" t="str">
        <x:v>12:00 PM</x:v>
      </x:c>
    </x:row>
    <x:row r="9">
      <x:c r="A9" s="23" t="str">
        <x:v>Check-out Time</x:v>
      </x:c>
      <x:c r="B9" s="23" t="str">
        <x:v>11:00 AM</x:v>
      </x:c>
    </x:row>
    <x:row r="10">
      <x:c r="A10" s="23" t="str">
        <x:v>Currency</x:v>
      </x:c>
      <x:c r="B10" s="23" t="str">
        <x:v>INR</x:v>
      </x:c>
    </x:row>
    <x:row r="11">
      <x:c r="A11" s="23" t="str">
        <x:v>Booking Prefix</x:v>
      </x:c>
      <x:c r="B11" s="23" t="str">
        <x:v>SB</x:v>
      </x:c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pageMargins left="0.7" right="0.7" top="0.75" bottom="0.75" header="0.3" footer="0.3"/>
</x:worksheet>
</file>